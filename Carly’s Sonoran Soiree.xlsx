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Itinerary" sheetId="2" r:id="rId6"/>
    <sheet state="visible" name="Lookbook" sheetId="3" r:id="rId7"/>
    <sheet state="visible" name="The Humans" sheetId="4" r:id="rId8"/>
    <sheet state="visible" name="Massage Schedule" sheetId="5" r:id="rId9"/>
    <sheet state="visible" name="Cost (just for Taylor)" sheetId="6" r:id="rId10"/>
  </sheets>
  <definedNames/>
  <calcPr/>
</workbook>
</file>

<file path=xl/sharedStrings.xml><?xml version="1.0" encoding="utf-8"?>
<sst xmlns="http://schemas.openxmlformats.org/spreadsheetml/2006/main" count="210" uniqueCount="184">
  <si>
    <t>Title</t>
  </si>
  <si>
    <t>Subtitle</t>
  </si>
  <si>
    <t>Dates</t>
  </si>
  <si>
    <t>Countdown to trip</t>
  </si>
  <si>
    <t>Location</t>
  </si>
  <si>
    <t>Home Base</t>
  </si>
  <si>
    <t>Carly’s Sonoran Soiree</t>
  </si>
  <si>
    <t>We are trading the group chat for the group trip. Expect a high probability of Aperol Spritz showers, scattered glitter storms, and a 100% chance of iconic memories.</t>
  </si>
  <si>
    <t>March 20-23, 2026</t>
  </si>
  <si>
    <t>Tucson, AZ</t>
  </si>
  <si>
    <t>3404 East 5th Street, Tucson, AZ 85716</t>
  </si>
  <si>
    <t>Day</t>
  </si>
  <si>
    <t>💃Activity</t>
  </si>
  <si>
    <t>📍Map Link</t>
  </si>
  <si>
    <t>✨Vibe</t>
  </si>
  <si>
    <t xml:space="preserve">🪩Attire </t>
  </si>
  <si>
    <t>Friday︱12:00 PM</t>
  </si>
  <si>
    <t>🥂Brunch (for those around) @ Cup Cafe🧇</t>
  </si>
  <si>
    <t>https://www.google.com/maps?sca_esv=cc34ee859529854e&amp;output=search&amp;q=cup+cafe+tucson&amp;source=lnms&amp;fbs=ADc_l-aN0CWEZBOHjofHoaMMDiKpUrv6YeyJhXfuYqj4Fj6c1SIV4w5e5qANUAPGe3KAH5yxpG7Tfwq-adkJ5iGt2DGb3hnUebcSVVAB-dNxMnTRU0b96SMn2jjobxJdYwH2MwnWRARw0ZN9qCzk1nbAnKtPSSCwot374CuBiBHGowW-Dwi4Xy9Kty8we45Zw7iRfjxT2VQFYYmbGWF_dAhkBmRp49oCyQ&amp;entry=mc&amp;ved=1t:200715&amp;ictx=111</t>
  </si>
  <si>
    <t>Warm welcomes &amp; the official start of the weekend</t>
  </si>
  <si>
    <t>No-stress brunch/travel fit!</t>
  </si>
  <si>
    <t>Friday︱4:00 PM</t>
  </si>
  <si>
    <t>🍹Aperol Spritz Bar &amp; Sonoran Snacks🌵</t>
  </si>
  <si>
    <t>https://www.google.com/maps/place/3404+East+5th+Street,+Tucson,+AZ+85716/data=!4m2!3m1!1s0x86d670339af252b3:0xc37d98e79337607c?sa=X&amp;ved=1t:242&amp;ictx=111&amp;cshid=1769036427002537</t>
  </si>
  <si>
    <t>Aperol flowing, glasses clinking, citrus &amp; bubbles in the air</t>
  </si>
  <si>
    <t>Anything goes!</t>
  </si>
  <si>
    <t>Friday︱6:30 PM</t>
  </si>
  <si>
    <t>🍽️ Dinner @ JoJo's☀️</t>
  </si>
  <si>
    <t>https://www.google.com/maps?sca_esv=cc34ee859529854e&amp;output=search&amp;q=jojos+tucson&amp;source=lnms&amp;fbs=ADc_l-aN0CWEZBOHjofHoaMMDiKpaEWjvZ2Py1XXV8d8KvlI3j2nXl-YQ05KjnWz5SrU93HEjYyChsjChlPh8hoCFXOKcApRiApREwCJlLQ25GWHiQflKae8G5Cewk3igK_tDN2jsXNqqJNhpvPHXRNKwZUSnKb1c6uL6vwNAMNhr_9ZcQXrgKV-AJMwxcGcwiB_npghVmWKv1PYkdIZGLaUCzGGgeRYsw&amp;entry=mc&amp;ved=1t:200715&amp;ictx=111</t>
  </si>
  <si>
    <t>Patio people + playful cocktails,“we finally made it out of the group text” energy</t>
  </si>
  <si>
    <t>Denim + Desert Tones</t>
  </si>
  <si>
    <t>Friday︱+9:00 PM</t>
  </si>
  <si>
    <t xml:space="preserve">💎Drinks @ Moonstone🔮 </t>
  </si>
  <si>
    <t>https://www.google.com/maps?sca_esv=cc34ee859529854e&amp;output=search&amp;q=moonstone+tucson&amp;source=lnms&amp;fbs=ADc_l-aN0CWEZBOHjofHoaMMDiKpaEWjvZ2Py1XXV8d8KvlI3j2nXl-YQ05KjnWz5SrU93H7yjmEhUi5AUSwdCoCuNwiJs9e2qtZ4M55cnUYoyTWZAwidN-N5l83_L-z5IMlvtJ9KYRIkHcG8-29NFvZhG78TuaYRwSGu5xzXq9UwJEhgu2mtcuKCBjnYh_wVcFNPdKgnM_7bzS3HF3c6s4j7ZbSmvwwqQ&amp;entry=mc&amp;ved=1t:200715&amp;ictx=111</t>
  </si>
  <si>
    <t>Elevated rooftop, intimate, &amp; moody nightcaps</t>
  </si>
  <si>
    <t>Saturday︱8:30 AM</t>
  </si>
  <si>
    <t>☕Coffee Stop @ EXO🫖</t>
  </si>
  <si>
    <t>https://www.google.com/maps/place/Exo+Roast+Co/@32.2265939,-110.9714115,17z/data=!3m1!4b1!4m6!3m5!1s0x86d6711b176d126d:0x23ff988477edc78!8m2!3d32.2265939!4d-110.9688366!16s%2Fg%2F11xdtrncq?entry=ttu&amp;g_ep=EgoyMDI2MDExOS4wIKXMDSoASAFQAw%3D%3D</t>
  </si>
  <si>
    <t>Caffeine-forward, neighborhood coffee vibes</t>
  </si>
  <si>
    <t>Desert Ease</t>
  </si>
  <si>
    <t>Saturday︱10:00 AM</t>
  </si>
  <si>
    <t>🏜️Sabino Canyon🌵</t>
  </si>
  <si>
    <t>https://www.google.com/maps?sca_esv=cc34ee859529854e&amp;output=search&amp;q=Sabino+Canyon+Recreation+Area,+5700+N+Sabino+Canyon+Rd,+Tucson,+AZ+85750&amp;source=lnms&amp;fbs=ADc_l-aN0CWEZBOHjofHoaMMDiKphoBqpq5GBqkiyrjUAVIunsxjYuMhbuF_OttTn5E9_bAECJ8J8jI2vksRWZ48wRr-R2npRoqR0fjxpZCPwh8_MkaoeFnXqkchH9WsKi_3DOk9-KPF6Je-FuE7umQLLSF65GEqkDC3_wuAyYMGuOie6fFwKaClXpuI9rlMqozBScPATkMdFrVnWpivsY1Gl8oLQgkxHg&amp;entry=mc&amp;ved=1t:200715&amp;ictx=111</t>
  </si>
  <si>
    <t>Quiet desert air, sunlight on the mountains, coffee in hand</t>
  </si>
  <si>
    <t>Saturday︱1:00 PM</t>
  </si>
  <si>
    <t>💀Til' Death Do Us (Pool) Party &amp; Lunch👙</t>
  </si>
  <si>
    <t>Desert afterlife meets poolside mischief like a Día de los Muertos disco</t>
  </si>
  <si>
    <t>Desert Afterlife</t>
  </si>
  <si>
    <t>Saturday︱7:00 PM</t>
  </si>
  <si>
    <t>🍕Dinner @ Anello🍷</t>
  </si>
  <si>
    <t>https://www.google.com/maps?sca_esv=cc34ee859529854e&amp;output=search&amp;q=anello+tucson&amp;source=lnms&amp;fbs=ADc_l-aN0CWEZBOHjofHoaMMDiKpaEWjvZ2Py1XXV8d8KvlI3j2nXl-YQ05KjnWz5SrU93H7yjmEhUi5AUSwdCoCuNwiWkvVZE-999EWKM9rFRM-ZTARSpYkLmaEQhEA4VOi_QmzdkuEv1CdcfpvqxQjOr48VLZHKYcr8KFgGj6jjXXKU0Bqu15mBP9RWT_mqBDWKtU_f55zbtQx4jMA1fBb39YRXmYwBw&amp;entry=mc&amp;ved=1t:200715&amp;ictx=111</t>
  </si>
  <si>
    <t>Sourdough pizza &amp; natty wine</t>
  </si>
  <si>
    <t>Desert Disco</t>
  </si>
  <si>
    <t>Saturday︱+9:00 PM</t>
  </si>
  <si>
    <t>💃Going Out-Out (or cocktail hoppin, depending on mood)🪩</t>
  </si>
  <si>
    <t>https://www.google.com/maps/place/Playground+Rooftop/@32.2219233,-110.9698584,17z/data=!3m1!4b1!4m6!3m5!1s0x86d670e2393abd93:0x2b5ffc932c1c22ac!8m2!3d32.2219188!4d-110.9672835!16s%2Fm%2F0ljl_k6?entry=ttu&amp;g_ep=EgoyMDI2MDExOS4wIKXMDSoASAFQAw%3D%3D</t>
  </si>
  <si>
    <t>Glitter, sweat, and the kind of night that reminds you why going out is still fun</t>
  </si>
  <si>
    <t>Sunday︱9:00 AM</t>
  </si>
  <si>
    <t>🥐 Catered Breakfast &amp; Coffee Bar from Time Market ☕</t>
  </si>
  <si>
    <t>Soft mornings &amp; slow starts, cold brew flowing, croissants, toasts, and nowhere else to be</t>
  </si>
  <si>
    <t>Soft Girl Sunday</t>
  </si>
  <si>
    <t>Sunday︱10:00 AM</t>
  </si>
  <si>
    <t>🧘‍♀️Breathwork &amp; Sound Bath😌</t>
  </si>
  <si>
    <t>Grounding, restorative, and calm</t>
  </si>
  <si>
    <t>Sunday︱11:00 AM</t>
  </si>
  <si>
    <t>💆🏻‍♀️Massages + Spa Station🧖🏻‍♀️</t>
  </si>
  <si>
    <t>Soft luxury at home, deep relaxation, and full-body reset</t>
  </si>
  <si>
    <t>Sunday︱1:00 PM</t>
  </si>
  <si>
    <t>🥪Lunch @ Café à la C’Art🥗</t>
  </si>
  <si>
    <t>https://www.google.com/maps?sca_esv=cc34ee859529854e&amp;output=search&amp;q=caf%C3%A9+%C3%A0+la+c%E2%80%99art&amp;source=lnms&amp;fbs=ADc_l-aN0CWEZBOHjofHoaMMDiKpaEWjvZ2Py1XXV8d8KvlI3j2nXl-YQ05KjnWz5SrU93H7yjmEhUi5AUSwdCoCuNwiWkvVZE-999EWKM9rFRM-ZTARSpYkLmaEQhEA4VOi_QmzdkuEv1CdcfpvqxQjOr48VLZHKYcr8KFgGj6jjXXKU0Bqu15mBP9RWT_mqBDWKtU_f55zbtQx4jMA1fBb39YRXmYwBw&amp;entry=mc&amp;ved=1t:200715&amp;ictx=111</t>
  </si>
  <si>
    <t>Fresh, bright, and leisurely</t>
  </si>
  <si>
    <t>Sunday︱6:00 PM</t>
  </si>
  <si>
    <t>🔥Hibachi @ Airbnb + Bridal Games🍱</t>
  </si>
  <si>
    <t>Flames flying, sake flowing, and dinner as a show</t>
  </si>
  <si>
    <t>Desert Sunset</t>
  </si>
  <si>
    <t>Monday︱9:00 AM</t>
  </si>
  <si>
    <t xml:space="preserve">🌅Coffee Outing @ Presta☕ </t>
  </si>
  <si>
    <t>https://www.google.com/maps?sca_esv=cc34ee859529854e&amp;output=search&amp;q=Presta+Coffee+Roasters,+501+E+9th+St,+Tucson,+AZ+85705&amp;source=lnms&amp;fbs=ADc_l-aN0CWEZBOHjofHoaMMDiKphoBqpq5GBqkiyrjUAVIunsxjYuMhbuF_OttTn5E9_bAECJ8J8jI2vksRWZ48wRr-R2npRoqR0fjxpZCPwh8_Mk7JYlymdIXEZUSZEbVAsRkOwuDwSfSgZT6EZJgZ5hA7XSJ3o98uSvvut7cAs_awHmGkOXY3K17Zv-fnfdmP1MzZOMl3szNz_dcY05JYl_fwUArTGw&amp;entry=mc&amp;ved=1t:200715&amp;ictx=111</t>
  </si>
  <si>
    <t>One last caffeine stop and soaking up the final moments together</t>
  </si>
  <si>
    <t>Monday︱11:00 AM</t>
  </si>
  <si>
    <t>🧳Pack, Check Out, &amp; HUGS!🤗</t>
  </si>
  <si>
    <t>Goodbyes, group hugs, and see you at the weddings!</t>
  </si>
  <si>
    <t>Monday︱12:00 PM</t>
  </si>
  <si>
    <t>🪴Lunch (for those around) @ MSA Annex😋</t>
  </si>
  <si>
    <t>https://www.google.com/maps/place/MSA+Annex/data=!4m2!3m1!1s0x0:0x4a69b87a35e8d0f3?sa=X&amp;ved=1t:2428&amp;ictx=111</t>
  </si>
  <si>
    <t>Casual, choose-your-own-adventure lunch</t>
  </si>
  <si>
    <t>Attire</t>
  </si>
  <si>
    <t>Inspo Image</t>
  </si>
  <si>
    <t>Friday︱Denim + Desert Tones</t>
  </si>
  <si>
    <t>👖Denim, indigo, rust, terracotta, and turquoise. Creative Canadian tuxedos encouraged!💠</t>
  </si>
  <si>
    <t>Denim + Desert Tones.png</t>
  </si>
  <si>
    <t>Saturday AM︱Desert Ease</t>
  </si>
  <si>
    <t>😎Neutral athleisure (sneakers, linen layers), hats + sunglasses🧢</t>
  </si>
  <si>
    <t>Desert Ease.png</t>
  </si>
  <si>
    <t>Saturday Afternoon︱Desert Afterlife</t>
  </si>
  <si>
    <t>💀Swimsuits (black, rust, deep red, metallics) &amp; western or spooky accessories, think cowboy hats, bandanas, metallic eyeliner, or braids🤠</t>
  </si>
  <si>
    <t>Desert Afterlife.png</t>
  </si>
  <si>
    <t>Saturday PM︱Desert Disco</t>
  </si>
  <si>
    <t>🪩Colorful sequins, metallics, platforms, bold makeup, and an “hair-up energy” kind of night🕺</t>
  </si>
  <si>
    <t>Desert Disco.png</t>
  </si>
  <si>
    <t>Sunday AM︱Soft Girl Sunday</t>
  </si>
  <si>
    <t>💆🏻‍♀️Linen sets, neutrals, slides, comfy cozy (robes for spa moments)🧖🏻‍♀️</t>
  </si>
  <si>
    <t>Soft Girl Sunday.png</t>
  </si>
  <si>
    <t>Sunday PM︱Desert Sunset</t>
  </si>
  <si>
    <t>🌅Flowy, warm-toned, golden hues, and effortless🏜️</t>
  </si>
  <si>
    <t>Desert Sunset.png</t>
  </si>
  <si>
    <t>Monday︱Anything goes!</t>
  </si>
  <si>
    <t>🙂Come as you are🧳</t>
  </si>
  <si>
    <t>Come as you are.png</t>
  </si>
  <si>
    <t>Human</t>
  </si>
  <si>
    <t>Favorite Drink</t>
  </si>
  <si>
    <t>URL to Photo</t>
  </si>
  <si>
    <t>Venmo Handle</t>
  </si>
  <si>
    <t>Bride! Carly Shira</t>
  </si>
  <si>
    <t xml:space="preserve">Fraser, CO </t>
  </si>
  <si>
    <t>Aperol Spritz</t>
  </si>
  <si>
    <t>Carly.jpeg</t>
  </si>
  <si>
    <t>@Carly-Shira</t>
  </si>
  <si>
    <t>Annie Raeder</t>
  </si>
  <si>
    <t xml:space="preserve">Denver, CO </t>
  </si>
  <si>
    <t>Champagne</t>
  </si>
  <si>
    <t>Annie.jpeg</t>
  </si>
  <si>
    <t>@Annie-Raeder</t>
  </si>
  <si>
    <t xml:space="preserve">Eleanor Parmentier </t>
  </si>
  <si>
    <t xml:space="preserve">Portland, OR </t>
  </si>
  <si>
    <t>Marg</t>
  </si>
  <si>
    <t>Eleanor.jpeg</t>
  </si>
  <si>
    <t xml:space="preserve">@Eleanor-Parmentier </t>
  </si>
  <si>
    <t xml:space="preserve">Eli Sawick </t>
  </si>
  <si>
    <t xml:space="preserve">NYC, NY </t>
  </si>
  <si>
    <t>@esaw2</t>
  </si>
  <si>
    <t xml:space="preserve">Erin Sears </t>
  </si>
  <si>
    <t>Prosecco</t>
  </si>
  <si>
    <t>Erin.jpeg</t>
  </si>
  <si>
    <t>@BeefcakeJane</t>
  </si>
  <si>
    <t xml:space="preserve">James Moore </t>
  </si>
  <si>
    <t xml:space="preserve">Jess Haney </t>
  </si>
  <si>
    <t xml:space="preserve">Paola, KS </t>
  </si>
  <si>
    <t>Tequila Soda</t>
  </si>
  <si>
    <t>Jess.jpeg</t>
  </si>
  <si>
    <t>@leannevents</t>
  </si>
  <si>
    <t>Joanie Hollberg</t>
  </si>
  <si>
    <t>Jersey City, NJ</t>
  </si>
  <si>
    <t>Anything!</t>
  </si>
  <si>
    <t>@Joanie-Hollberg</t>
  </si>
  <si>
    <t xml:space="preserve">Rachel Pronove </t>
  </si>
  <si>
    <t>Spicy marg</t>
  </si>
  <si>
    <t>Rachel.jpeg</t>
  </si>
  <si>
    <t>@Rachel-Guiles</t>
  </si>
  <si>
    <t>Taylor Stewart</t>
  </si>
  <si>
    <t>Bend, OR</t>
  </si>
  <si>
    <t>Skinny marg</t>
  </si>
  <si>
    <t>Taylor.jpeg</t>
  </si>
  <si>
    <t>@taylordstew</t>
  </si>
  <si>
    <t>Time</t>
  </si>
  <si>
    <t>Human 1</t>
  </si>
  <si>
    <t>Human 2</t>
  </si>
  <si>
    <t>11:00-11:30</t>
  </si>
  <si>
    <t>Annie</t>
  </si>
  <si>
    <t xml:space="preserve">James </t>
  </si>
  <si>
    <t>11:30-12:00</t>
  </si>
  <si>
    <t>Carly</t>
  </si>
  <si>
    <t>Joanie</t>
  </si>
  <si>
    <t>12:00-12:30</t>
  </si>
  <si>
    <t>Taylor</t>
  </si>
  <si>
    <t xml:space="preserve">Erin </t>
  </si>
  <si>
    <t>Item</t>
  </si>
  <si>
    <t>Total</t>
  </si>
  <si>
    <t>Price per person (w/ massage)</t>
  </si>
  <si>
    <t>Price per person (w/out massage)</t>
  </si>
  <si>
    <t>Puchased?</t>
  </si>
  <si>
    <t>Note</t>
  </si>
  <si>
    <t>Tram tickets</t>
  </si>
  <si>
    <t>No</t>
  </si>
  <si>
    <t>Lunch catering</t>
  </si>
  <si>
    <t>Breakfast catering</t>
  </si>
  <si>
    <t>Estimate</t>
  </si>
  <si>
    <t>Breathwork + Sound Bath</t>
  </si>
  <si>
    <t>Massage</t>
  </si>
  <si>
    <t>Cash only</t>
  </si>
  <si>
    <t>Hibachi</t>
  </si>
  <si>
    <t>Partial</t>
  </si>
  <si>
    <t>Paid $50 deposit, remaining due in cash</t>
  </si>
  <si>
    <t>Estimate All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</si>
</sst>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sz val="10.0"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Calibri"/>
    </font>
    <font>
      <u/>
      <sz val="10.0"/>
      <color theme="1"/>
      <name val="Arial"/>
      <scheme val="minor"/>
    </font>
    <font>
      <sz val="10.0"/>
      <color rgb="FF1F1F1F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8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?sca_esv=20e61c84b11a2ebb&amp;output=search&amp;q=3404+East+5th+Street,+Tucson,+AZ+85716&amp;source=lnms&amp;fbs=ADc_l-aN0CWEZBOHjofHoaMMDiKpUrv6YeyJhXfuYqj4Fj6c1Tg5t_ufWNUvD2V-uX26AFmzd3PgOqQPiZGQbkKtfgZKbvRjqymWX6R2FJ9Zpl8YIzWBe3FGN3hnfYgkxmoQ4QaPYwo0GSomDswD-PYuPH-QpcJQEj_R0nN-baz08eG-vxIMzUz_13sUrZUViEoN2SL59yA0tucetdcMaYa_hhmTSU1qVQ&amp;entry=mc&amp;ved=1t:200715&amp;ictx=11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3404+East+5th+Street,+Tucson,+AZ+85716/data=!4m2!3m1!1s0x86d670339af252b3:0xc37d98e79337607c?sa=X&amp;ved=1t:242&amp;ictx=111&amp;cshid=1769036427002537" TargetMode="External"/><Relationship Id="rId10" Type="http://schemas.openxmlformats.org/officeDocument/2006/relationships/hyperlink" Target="https://www.google.com/maps/place/3404+East+5th+Street,+Tucson,+AZ+85716/data=!4m2!3m1!1s0x86d670339af252b3:0xc37d98e79337607c?sa=X&amp;ved=1t:242&amp;ictx=111&amp;cshid=1769036427002537" TargetMode="External"/><Relationship Id="rId13" Type="http://schemas.openxmlformats.org/officeDocument/2006/relationships/hyperlink" Target="https://www.google.com/maps?sca_esv=cc34ee859529854e&amp;output=search&amp;q=caf%C3%A9+%C3%A0+la+c%E2%80%99art&amp;source=lnms&amp;fbs=ADc_l-aN0CWEZBOHjofHoaMMDiKpaEWjvZ2Py1XXV8d8KvlI3j2nXl-YQ05KjnWz5SrU93H7yjmEhUi5AUSwdCoCuNwiWkvVZE-999EWKM9rFRM-ZTARSpYkLmaEQhEA4VOi_QmzdkuEv1CdcfpvqxQjOr48VLZHKYcr8KFgGj6jjXXKU0Bqu15mBP9RWT_mqBDWKtU_f55zbtQx4jMA1fBb39YRXmYwBw&amp;entry=mc&amp;ved=1t:200715&amp;ictx=111" TargetMode="External"/><Relationship Id="rId12" Type="http://schemas.openxmlformats.org/officeDocument/2006/relationships/hyperlink" Target="https://www.google.com/maps/place/3404+East+5th+Street,+Tucson,+AZ+85716/data=!4m2!3m1!1s0x86d670339af252b3:0xc37d98e79337607c?sa=X&amp;ved=1t:242&amp;ictx=111&amp;cshid=1769036427002537" TargetMode="External"/><Relationship Id="rId1" Type="http://schemas.openxmlformats.org/officeDocument/2006/relationships/hyperlink" Target="https://www.google.com/maps?sca_esv=cc34ee859529854e&amp;output=search&amp;q=cup+cafe+tucson&amp;source=lnms&amp;fbs=ADc_l-aN0CWEZBOHjofHoaMMDiKpUrv6YeyJhXfuYqj4Fj6c1SIV4w5e5qANUAPGe3KAH5yxpG7Tfwq-adkJ5iGt2DGb3hnUebcSVVAB-dNxMnTRU0b96SMn2jjobxJdYwH2MwnWRARw0ZN9qCzk1nbAnKtPSSCwot374CuBiBHGowW-Dwi4Xy9Kty8we45Zw7iRfjxT2VQFYYmbGWF_dAhkBmRp49oCyQ&amp;entry=mc&amp;ved=1t:200715&amp;ictx=111" TargetMode="External"/><Relationship Id="rId2" Type="http://schemas.openxmlformats.org/officeDocument/2006/relationships/hyperlink" Target="https://www.google.com/maps/place/3404+East+5th+Street,+Tucson,+AZ+85716/data=!4m2!3m1!1s0x86d670339af252b3:0xc37d98e79337607c?sa=X&amp;ved=1t:242&amp;ictx=111&amp;cshid=1769036427002537" TargetMode="External"/><Relationship Id="rId3" Type="http://schemas.openxmlformats.org/officeDocument/2006/relationships/hyperlink" Target="https://www.google.com/maps?sca_esv=cc34ee859529854e&amp;output=search&amp;q=jojos+tucson&amp;source=lnms&amp;fbs=ADc_l-aN0CWEZBOHjofHoaMMDiKpaEWjvZ2Py1XXV8d8KvlI3j2nXl-YQ05KjnWz5SrU93HEjYyChsjChlPh8hoCFXOKcApRiApREwCJlLQ25GWHiQflKae8G5Cewk3igK_tDN2jsXNqqJNhpvPHXRNKwZUSnKb1c6uL6vwNAMNhr_9ZcQXrgKV-AJMwxcGcwiB_npghVmWKv1PYkdIZGLaUCzGGgeRYsw&amp;entry=mc&amp;ved=1t:200715&amp;ictx=111" TargetMode="External"/><Relationship Id="rId4" Type="http://schemas.openxmlformats.org/officeDocument/2006/relationships/hyperlink" Target="https://www.google.com/maps?sca_esv=cc34ee859529854e&amp;output=search&amp;q=moonstone+tucson&amp;source=lnms&amp;fbs=ADc_l-aN0CWEZBOHjofHoaMMDiKpaEWjvZ2Py1XXV8d8KvlI3j2nXl-YQ05KjnWz5SrU93H7yjmEhUi5AUSwdCoCuNwiJs9e2qtZ4M55cnUYoyTWZAwidN-N5l83_L-z5IMlvtJ9KYRIkHcG8-29NFvZhG78TuaYRwSGu5xzXq9UwJEhgu2mtcuKCBjnYh_wVcFNPdKgnM_7bzS3HF3c6s4j7ZbSmvwwqQ&amp;entry=mc&amp;ved=1t:200715&amp;ictx=111" TargetMode="External"/><Relationship Id="rId9" Type="http://schemas.openxmlformats.org/officeDocument/2006/relationships/hyperlink" Target="https://www.google.com/maps/place/Playground+Rooftop/@32.2219233,-110.9698584,17z/data=!3m1!4b1!4m6!3m5!1s0x86d670e2393abd93:0x2b5ffc932c1c22ac!8m2!3d32.2219188!4d-110.9672835!16s%2Fm%2F0ljl_k6?entry=ttu&amp;g_ep=EgoyMDI2MDExOS4wIKXMDSoASAFQAw%3D%3D" TargetMode="External"/><Relationship Id="rId15" Type="http://schemas.openxmlformats.org/officeDocument/2006/relationships/hyperlink" Target="https://www.google.com/maps?sca_esv=cc34ee859529854e&amp;output=search&amp;q=Presta+Coffee+Roasters,+501+E+9th+St,+Tucson,+AZ+85705&amp;source=lnms&amp;fbs=ADc_l-aN0CWEZBOHjofHoaMMDiKphoBqpq5GBqkiyrjUAVIunsxjYuMhbuF_OttTn5E9_bAECJ8J8jI2vksRWZ48wRr-R2npRoqR0fjxpZCPwh8_Mk7JYlymdIXEZUSZEbVAsRkOwuDwSfSgZT6EZJgZ5hA7XSJ3o98uSvvut7cAs_awHmGkOXY3K17Zv-fnfdmP1MzZOMl3szNz_dcY05JYl_fwUArTGw&amp;entry=mc&amp;ved=1t:200715&amp;ictx=111" TargetMode="External"/><Relationship Id="rId14" Type="http://schemas.openxmlformats.org/officeDocument/2006/relationships/hyperlink" Target="https://www.google.com/maps/place/3404+East+5th+Street,+Tucson,+AZ+85716/data=!4m2!3m1!1s0x86d670339af252b3:0xc37d98e79337607c?sa=X&amp;ved=1t:242&amp;ictx=111&amp;cshid=1769036427002537" TargetMode="External"/><Relationship Id="rId17" Type="http://schemas.openxmlformats.org/officeDocument/2006/relationships/hyperlink" Target="https://www.google.com/maps/place/MSA+Annex/data=!4m2!3m1!1s0x0:0x4a69b87a35e8d0f3?sa=X&amp;ved=1t:2428&amp;ictx=111" TargetMode="External"/><Relationship Id="rId16" Type="http://schemas.openxmlformats.org/officeDocument/2006/relationships/hyperlink" Target="https://www.google.com/maps/place/3404+East+5th+Street,+Tucson,+AZ+85716/data=!4m2!3m1!1s0x86d670339af252b3:0xc37d98e79337607c?sa=X&amp;ved=1t:242&amp;ictx=111&amp;cshid=1769036427002537" TargetMode="External"/><Relationship Id="rId5" Type="http://schemas.openxmlformats.org/officeDocument/2006/relationships/hyperlink" Target="https://www.google.com/maps/place/Exo+Roast+Co/@32.2265939,-110.9714115,17z/data=!3m1!4b1!4m6!3m5!1s0x86d6711b176d126d:0x23ff988477edc78!8m2!3d32.2265939!4d-110.9688366!16s%2Fg%2F11xdtrncq?entry=ttu&amp;g_ep=EgoyMDI2MDExOS4wIKXMDSoASAFQAw%3D%3D" TargetMode="External"/><Relationship Id="rId6" Type="http://schemas.openxmlformats.org/officeDocument/2006/relationships/hyperlink" Target="https://www.google.com/maps?sca_esv=cc34ee859529854e&amp;output=search&amp;q=Sabino+Canyon+Recreation+Area,+5700+N+Sabino+Canyon+Rd,+Tucson,+AZ+85750&amp;source=lnms&amp;fbs=ADc_l-aN0CWEZBOHjofHoaMMDiKphoBqpq5GBqkiyrjUAVIunsxjYuMhbuF_OttTn5E9_bAECJ8J8jI2vksRWZ48wRr-R2npRoqR0fjxpZCPwh8_MkaoeFnXqkchH9WsKi_3DOk9-KPF6Je-FuE7umQLLSF65GEqkDC3_wuAyYMGuOie6fFwKaClXpuI9rlMqozBScPATkMdFrVnWpivsY1Gl8oLQgkxHg&amp;entry=mc&amp;ved=1t:200715&amp;ictx=111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google.com/maps/place/3404+East+5th+Street,+Tucson,+AZ+85716/data=!4m2!3m1!1s0x86d670339af252b3:0xc37d98e79337607c?sa=X&amp;ved=1t:242&amp;ictx=111&amp;cshid=1769036427002537" TargetMode="External"/><Relationship Id="rId8" Type="http://schemas.openxmlformats.org/officeDocument/2006/relationships/hyperlink" Target="https://www.google.com/maps?sca_esv=cc34ee859529854e&amp;output=search&amp;q=anello+tucson&amp;source=lnms&amp;fbs=ADc_l-aN0CWEZBOHjofHoaMMDiKpaEWjvZ2Py1XXV8d8KvlI3j2nXl-YQ05KjnWz5SrU93H7yjmEhUi5AUSwdCoCuNwiWkvVZE-999EWKM9rFRM-ZTARSpYkLmaEQhEA4VOi_QmzdkuEv1CdcfpvqxQjOr48VLZHKYcr8KFgGj6jjXXKU0Bqu15mBP9RWT_mqBDWKtU_f55zbtQx4jMA1fBb39YRXmYwBw&amp;entry=mc&amp;ved=1t:200715&amp;ictx=11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8ODmXmL4mXSh7lOJvopCzo8_V6A75OI/view?usp=drive_link" TargetMode="External"/><Relationship Id="rId2" Type="http://schemas.openxmlformats.org/officeDocument/2006/relationships/hyperlink" Target="https://drive.google.com/file/d/1aS4zRhS7ammkyCJGniwWZhMWzet8wEsd/view?usp=drive_link" TargetMode="External"/><Relationship Id="rId3" Type="http://schemas.openxmlformats.org/officeDocument/2006/relationships/hyperlink" Target="https://drive.google.com/file/d/1JiEKvrZZm5OODbQE9EnQd9Vx524sSdsa/view?usp=drive_link" TargetMode="External"/><Relationship Id="rId4" Type="http://schemas.openxmlformats.org/officeDocument/2006/relationships/hyperlink" Target="https://drive.google.com/file/d/1E3H1uiAt-TRWnGl6Jk2BSagjJhUZ8qBZ/view?usp=drive_link" TargetMode="External"/><Relationship Id="rId5" Type="http://schemas.openxmlformats.org/officeDocument/2006/relationships/hyperlink" Target="https://drive.google.com/file/d/1MztTXx_uhKPvEvdwV2J05DO1i7mXWgEg/view?usp=drive_link" TargetMode="External"/><Relationship Id="rId6" Type="http://schemas.openxmlformats.org/officeDocument/2006/relationships/hyperlink" Target="https://drive.google.com/file/d/18B33USOR2lUpO7EhH858M852w4PD1vsU/view?usp=drive_link" TargetMode="External"/><Relationship Id="rId7" Type="http://schemas.openxmlformats.org/officeDocument/2006/relationships/hyperlink" Target="https://drive.google.com/file/d/1Bk028XBYHtwmGOKyNHsGbM8uXjxXt2xs/view?usp=drive_link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22C5wlvEsV0xILh-V_ZFtooGXecTN4N/view?usp=drive_link" TargetMode="External"/><Relationship Id="rId2" Type="http://schemas.openxmlformats.org/officeDocument/2006/relationships/hyperlink" Target="https://drive.google.com/file/d/1760ZGLRKEYodhpYJgJLUUwijfkD64wuw/view?usp=drive_link" TargetMode="External"/><Relationship Id="rId3" Type="http://schemas.openxmlformats.org/officeDocument/2006/relationships/hyperlink" Target="https://drive.google.com/file/d/1pWh4pW-9FXWVOdAugzQcdzqQ7ZRXnWmJ/view?usp=drive_link" TargetMode="External"/><Relationship Id="rId4" Type="http://schemas.openxmlformats.org/officeDocument/2006/relationships/hyperlink" Target="https://drive.google.com/file/d/1ViWuQUA9Kj14bR9N_k8FgoOmQTQKOCTD/view?usp=drive_link" TargetMode="External"/><Relationship Id="rId5" Type="http://schemas.openxmlformats.org/officeDocument/2006/relationships/hyperlink" Target="https://drive.google.com/file/d/1b94gtBeHZcl1iPugK41lE__Za7cemDNZ/view?usp=drive_link" TargetMode="External"/><Relationship Id="rId6" Type="http://schemas.openxmlformats.org/officeDocument/2006/relationships/hyperlink" Target="https://drive.google.com/file/d/1Dg-zBozw_UDfeOWIuCiYs8zg4Eyf6pdK/view?usp=drive_link" TargetMode="External"/><Relationship Id="rId7" Type="http://schemas.openxmlformats.org/officeDocument/2006/relationships/hyperlink" Target="https://drive.google.com/file/d/1peVF9KukQ7-93SgeTFP9TmydpYqkCli2/view?usp=drive_link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f>DAYS("3/20/2026", Today())</f>
        <v>55</v>
      </c>
      <c r="E2" s="1" t="s">
        <v>9</v>
      </c>
      <c r="F2" s="3" t="s">
        <v>10</v>
      </c>
    </row>
  </sheetData>
  <hyperlinks>
    <hyperlink r:id="rId1" ref="F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6.63"/>
    <col customWidth="1" min="3" max="3" width="34.38"/>
    <col customWidth="1" min="4" max="4" width="61.63"/>
    <col customWidth="1" min="5" max="5" width="36.38"/>
  </cols>
  <sheetData>
    <row r="1">
      <c r="A1" s="4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4" t="s">
        <v>16</v>
      </c>
      <c r="B2" s="1" t="s">
        <v>17</v>
      </c>
      <c r="C2" s="5" t="s">
        <v>18</v>
      </c>
      <c r="D2" s="1" t="s">
        <v>19</v>
      </c>
      <c r="E2" s="1" t="s">
        <v>20</v>
      </c>
    </row>
    <row r="3">
      <c r="A3" s="4" t="s">
        <v>21</v>
      </c>
      <c r="B3" s="1" t="s">
        <v>22</v>
      </c>
      <c r="C3" s="5" t="s">
        <v>23</v>
      </c>
      <c r="D3" s="1" t="s">
        <v>24</v>
      </c>
      <c r="E3" s="1" t="s">
        <v>25</v>
      </c>
    </row>
    <row r="4">
      <c r="A4" s="4" t="s">
        <v>26</v>
      </c>
      <c r="B4" s="1" t="s">
        <v>27</v>
      </c>
      <c r="C4" s="5" t="s">
        <v>28</v>
      </c>
      <c r="D4" s="1" t="s">
        <v>29</v>
      </c>
      <c r="E4" s="1" t="s">
        <v>30</v>
      </c>
    </row>
    <row r="5">
      <c r="A5" s="4" t="s">
        <v>31</v>
      </c>
      <c r="B5" s="1" t="s">
        <v>32</v>
      </c>
      <c r="C5" s="5" t="s">
        <v>33</v>
      </c>
      <c r="D5" s="1" t="s">
        <v>34</v>
      </c>
      <c r="E5" s="1" t="s">
        <v>30</v>
      </c>
    </row>
    <row r="6">
      <c r="A6" s="4" t="s">
        <v>35</v>
      </c>
      <c r="B6" s="1" t="s">
        <v>36</v>
      </c>
      <c r="C6" s="5" t="s">
        <v>37</v>
      </c>
      <c r="D6" s="1" t="s">
        <v>38</v>
      </c>
      <c r="E6" s="1" t="s">
        <v>39</v>
      </c>
    </row>
    <row r="7">
      <c r="A7" s="4" t="s">
        <v>40</v>
      </c>
      <c r="B7" s="1" t="s">
        <v>41</v>
      </c>
      <c r="C7" s="5" t="s">
        <v>42</v>
      </c>
      <c r="D7" s="1" t="s">
        <v>43</v>
      </c>
      <c r="E7" s="1" t="s">
        <v>39</v>
      </c>
    </row>
    <row r="8">
      <c r="A8" s="4" t="s">
        <v>44</v>
      </c>
      <c r="B8" s="1" t="s">
        <v>45</v>
      </c>
      <c r="C8" s="5" t="s">
        <v>23</v>
      </c>
      <c r="D8" s="1" t="s">
        <v>46</v>
      </c>
      <c r="E8" s="1" t="s">
        <v>47</v>
      </c>
    </row>
    <row r="9">
      <c r="A9" s="4" t="s">
        <v>48</v>
      </c>
      <c r="B9" s="1" t="s">
        <v>49</v>
      </c>
      <c r="C9" s="3" t="s">
        <v>50</v>
      </c>
      <c r="D9" s="1" t="s">
        <v>51</v>
      </c>
      <c r="E9" s="1" t="s">
        <v>52</v>
      </c>
    </row>
    <row r="10">
      <c r="A10" s="4" t="s">
        <v>53</v>
      </c>
      <c r="B10" s="1" t="s">
        <v>54</v>
      </c>
      <c r="C10" s="5" t="s">
        <v>55</v>
      </c>
      <c r="D10" s="1" t="s">
        <v>56</v>
      </c>
      <c r="E10" s="1" t="s">
        <v>52</v>
      </c>
    </row>
    <row r="11">
      <c r="A11" s="4" t="s">
        <v>57</v>
      </c>
      <c r="B11" s="1" t="s">
        <v>58</v>
      </c>
      <c r="C11" s="5" t="s">
        <v>23</v>
      </c>
      <c r="D11" s="1" t="s">
        <v>59</v>
      </c>
      <c r="E11" s="1" t="s">
        <v>60</v>
      </c>
    </row>
    <row r="12">
      <c r="A12" s="4" t="s">
        <v>61</v>
      </c>
      <c r="B12" s="1" t="s">
        <v>62</v>
      </c>
      <c r="C12" s="5" t="s">
        <v>23</v>
      </c>
      <c r="D12" s="1" t="s">
        <v>63</v>
      </c>
      <c r="E12" s="1" t="s">
        <v>60</v>
      </c>
    </row>
    <row r="13">
      <c r="A13" s="4" t="s">
        <v>64</v>
      </c>
      <c r="B13" s="1" t="s">
        <v>65</v>
      </c>
      <c r="C13" s="5" t="s">
        <v>23</v>
      </c>
      <c r="D13" s="1" t="s">
        <v>66</v>
      </c>
      <c r="E13" s="1" t="s">
        <v>60</v>
      </c>
    </row>
    <row r="14">
      <c r="A14" s="4" t="s">
        <v>67</v>
      </c>
      <c r="B14" s="1" t="s">
        <v>68</v>
      </c>
      <c r="C14" s="5" t="s">
        <v>69</v>
      </c>
      <c r="D14" s="1" t="s">
        <v>70</v>
      </c>
      <c r="E14" s="1" t="s">
        <v>60</v>
      </c>
    </row>
    <row r="15">
      <c r="A15" s="4" t="s">
        <v>71</v>
      </c>
      <c r="B15" s="1" t="s">
        <v>72</v>
      </c>
      <c r="C15" s="5" t="s">
        <v>23</v>
      </c>
      <c r="D15" s="1" t="s">
        <v>73</v>
      </c>
      <c r="E15" s="1" t="s">
        <v>74</v>
      </c>
    </row>
    <row r="16">
      <c r="A16" s="4" t="s">
        <v>75</v>
      </c>
      <c r="B16" s="1" t="s">
        <v>76</v>
      </c>
      <c r="C16" s="5" t="s">
        <v>77</v>
      </c>
      <c r="D16" s="1" t="s">
        <v>78</v>
      </c>
      <c r="E16" s="1" t="s">
        <v>25</v>
      </c>
    </row>
    <row r="17">
      <c r="A17" s="4" t="s">
        <v>79</v>
      </c>
      <c r="B17" s="1" t="s">
        <v>80</v>
      </c>
      <c r="C17" s="5" t="s">
        <v>23</v>
      </c>
      <c r="D17" s="1" t="s">
        <v>81</v>
      </c>
      <c r="E17" s="1" t="s">
        <v>25</v>
      </c>
    </row>
    <row r="18">
      <c r="A18" s="4" t="s">
        <v>82</v>
      </c>
      <c r="B18" s="1" t="s">
        <v>83</v>
      </c>
      <c r="C18" s="3" t="s">
        <v>84</v>
      </c>
      <c r="D18" s="1" t="s">
        <v>85</v>
      </c>
      <c r="E18" s="1" t="s">
        <v>25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104.88"/>
    <col customWidth="1" min="3" max="3" width="36.25"/>
  </cols>
  <sheetData>
    <row r="1">
      <c r="A1" s="6" t="s">
        <v>11</v>
      </c>
      <c r="B1" s="7" t="s">
        <v>86</v>
      </c>
      <c r="C1" s="1" t="s">
        <v>87</v>
      </c>
    </row>
    <row r="2">
      <c r="A2" s="6" t="s">
        <v>88</v>
      </c>
      <c r="B2" s="7" t="s">
        <v>89</v>
      </c>
      <c r="C2" s="8" t="s">
        <v>90</v>
      </c>
    </row>
    <row r="3">
      <c r="A3" s="6" t="s">
        <v>91</v>
      </c>
      <c r="B3" s="7" t="s">
        <v>92</v>
      </c>
      <c r="C3" s="8" t="s">
        <v>93</v>
      </c>
    </row>
    <row r="4">
      <c r="A4" s="6" t="s">
        <v>94</v>
      </c>
      <c r="B4" s="7" t="s">
        <v>95</v>
      </c>
      <c r="C4" s="8" t="s">
        <v>96</v>
      </c>
    </row>
    <row r="5">
      <c r="A5" s="6" t="s">
        <v>97</v>
      </c>
      <c r="B5" s="7" t="s">
        <v>98</v>
      </c>
      <c r="C5" s="8" t="s">
        <v>99</v>
      </c>
    </row>
    <row r="6">
      <c r="A6" s="6" t="s">
        <v>100</v>
      </c>
      <c r="B6" s="7" t="s">
        <v>101</v>
      </c>
      <c r="C6" s="8" t="s">
        <v>102</v>
      </c>
    </row>
    <row r="7">
      <c r="A7" s="6" t="s">
        <v>103</v>
      </c>
      <c r="B7" s="7" t="s">
        <v>104</v>
      </c>
      <c r="C7" s="8" t="s">
        <v>105</v>
      </c>
    </row>
    <row r="8">
      <c r="A8" s="6" t="s">
        <v>106</v>
      </c>
      <c r="B8" s="7" t="s">
        <v>107</v>
      </c>
      <c r="C8" s="8" t="s">
        <v>108</v>
      </c>
    </row>
    <row r="9">
      <c r="B9" s="9"/>
    </row>
    <row r="10">
      <c r="B10" s="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5" max="5" width="17.25"/>
  </cols>
  <sheetData>
    <row r="1">
      <c r="A1" s="6" t="s">
        <v>109</v>
      </c>
      <c r="B1" s="6" t="s">
        <v>4</v>
      </c>
      <c r="C1" s="6" t="s">
        <v>110</v>
      </c>
      <c r="D1" s="10" t="s">
        <v>111</v>
      </c>
      <c r="E1" s="1" t="s">
        <v>112</v>
      </c>
      <c r="H1" s="11"/>
      <c r="I1" s="11"/>
      <c r="J1" s="11"/>
      <c r="K1" s="11"/>
      <c r="L1" s="11"/>
    </row>
    <row r="2">
      <c r="A2" s="12" t="s">
        <v>113</v>
      </c>
      <c r="B2" s="13" t="s">
        <v>114</v>
      </c>
      <c r="C2" s="12" t="s">
        <v>115</v>
      </c>
      <c r="D2" s="14" t="s">
        <v>116</v>
      </c>
      <c r="E2" s="1" t="s">
        <v>117</v>
      </c>
    </row>
    <row r="3">
      <c r="A3" s="13" t="s">
        <v>118</v>
      </c>
      <c r="B3" s="13" t="s">
        <v>119</v>
      </c>
      <c r="C3" s="12" t="s">
        <v>120</v>
      </c>
      <c r="D3" s="14" t="s">
        <v>121</v>
      </c>
      <c r="E3" s="1" t="s">
        <v>122</v>
      </c>
    </row>
    <row r="4">
      <c r="A4" s="13" t="s">
        <v>123</v>
      </c>
      <c r="B4" s="13" t="s">
        <v>124</v>
      </c>
      <c r="C4" s="12" t="s">
        <v>125</v>
      </c>
      <c r="D4" s="14" t="s">
        <v>126</v>
      </c>
      <c r="E4" s="1" t="s">
        <v>127</v>
      </c>
    </row>
    <row r="5">
      <c r="A5" s="13" t="s">
        <v>128</v>
      </c>
      <c r="B5" s="13" t="s">
        <v>129</v>
      </c>
      <c r="C5" s="12" t="s">
        <v>125</v>
      </c>
      <c r="D5" s="15"/>
      <c r="E5" s="1" t="s">
        <v>130</v>
      </c>
    </row>
    <row r="6">
      <c r="A6" s="13" t="s">
        <v>131</v>
      </c>
      <c r="B6" s="13" t="s">
        <v>119</v>
      </c>
      <c r="C6" s="12" t="s">
        <v>132</v>
      </c>
      <c r="D6" s="14" t="s">
        <v>133</v>
      </c>
      <c r="E6" s="1" t="s">
        <v>134</v>
      </c>
    </row>
    <row r="7">
      <c r="A7" s="13" t="s">
        <v>135</v>
      </c>
      <c r="B7" s="13" t="s">
        <v>119</v>
      </c>
      <c r="C7" s="12" t="s">
        <v>132</v>
      </c>
      <c r="D7" s="15"/>
    </row>
    <row r="8">
      <c r="A8" s="13" t="s">
        <v>136</v>
      </c>
      <c r="B8" s="13" t="s">
        <v>137</v>
      </c>
      <c r="C8" s="12" t="s">
        <v>138</v>
      </c>
      <c r="D8" s="14" t="s">
        <v>139</v>
      </c>
      <c r="E8" s="1" t="s">
        <v>140</v>
      </c>
    </row>
    <row r="9">
      <c r="A9" s="13" t="s">
        <v>141</v>
      </c>
      <c r="B9" s="13" t="s">
        <v>142</v>
      </c>
      <c r="C9" s="12" t="s">
        <v>143</v>
      </c>
      <c r="D9" s="15"/>
      <c r="E9" s="1" t="s">
        <v>144</v>
      </c>
    </row>
    <row r="10">
      <c r="A10" s="13" t="s">
        <v>145</v>
      </c>
      <c r="B10" s="13" t="s">
        <v>119</v>
      </c>
      <c r="C10" s="12" t="s">
        <v>146</v>
      </c>
      <c r="D10" s="14" t="s">
        <v>147</v>
      </c>
      <c r="E10" s="1" t="s">
        <v>148</v>
      </c>
    </row>
    <row r="11">
      <c r="A11" s="13" t="s">
        <v>149</v>
      </c>
      <c r="B11" s="13" t="s">
        <v>150</v>
      </c>
      <c r="C11" s="12" t="s">
        <v>151</v>
      </c>
      <c r="D11" s="14" t="s">
        <v>152</v>
      </c>
      <c r="E11" s="1" t="s">
        <v>153</v>
      </c>
    </row>
  </sheetData>
  <hyperlinks>
    <hyperlink r:id="rId1" ref="D2"/>
    <hyperlink r:id="rId2" ref="D3"/>
    <hyperlink r:id="rId3" ref="D4"/>
    <hyperlink r:id="rId4" ref="D6"/>
    <hyperlink r:id="rId5" ref="D8"/>
    <hyperlink r:id="rId6" ref="D10"/>
    <hyperlink r:id="rId7" ref="D11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154</v>
      </c>
      <c r="B1" s="16" t="s">
        <v>155</v>
      </c>
      <c r="C1" s="16" t="s">
        <v>156</v>
      </c>
    </row>
    <row r="2">
      <c r="A2" s="16" t="s">
        <v>157</v>
      </c>
      <c r="B2" s="16" t="s">
        <v>158</v>
      </c>
      <c r="C2" s="16" t="s">
        <v>159</v>
      </c>
    </row>
    <row r="3">
      <c r="A3" s="16" t="s">
        <v>160</v>
      </c>
      <c r="B3" s="16" t="s">
        <v>161</v>
      </c>
      <c r="C3" s="16" t="s">
        <v>162</v>
      </c>
      <c r="D3" s="17"/>
      <c r="E3" s="17"/>
    </row>
    <row r="4">
      <c r="A4" s="16" t="s">
        <v>163</v>
      </c>
      <c r="B4" s="16" t="s">
        <v>164</v>
      </c>
      <c r="C4" s="16" t="s">
        <v>165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3" max="3" width="25.0"/>
    <col customWidth="1" min="4" max="4" width="27.0"/>
    <col customWidth="1" min="6" max="6" width="35.75"/>
  </cols>
  <sheetData>
    <row r="1">
      <c r="A1" s="18" t="s">
        <v>166</v>
      </c>
      <c r="B1" s="18" t="s">
        <v>167</v>
      </c>
      <c r="C1" s="18" t="s">
        <v>168</v>
      </c>
      <c r="D1" s="18" t="s">
        <v>169</v>
      </c>
      <c r="E1" s="18" t="s">
        <v>170</v>
      </c>
      <c r="F1" s="18" t="s">
        <v>171</v>
      </c>
    </row>
    <row r="2">
      <c r="A2" s="1" t="s">
        <v>172</v>
      </c>
      <c r="B2" s="19">
        <v>150.0</v>
      </c>
      <c r="C2" s="20">
        <f t="shared" ref="C2:C5" si="1">sum(B2/10)</f>
        <v>15</v>
      </c>
      <c r="D2" s="20">
        <v>15.0</v>
      </c>
      <c r="E2" s="21" t="s">
        <v>173</v>
      </c>
    </row>
    <row r="3">
      <c r="A3" s="1" t="s">
        <v>174</v>
      </c>
      <c r="B3" s="22">
        <v>331.73</v>
      </c>
      <c r="C3" s="23">
        <f t="shared" si="1"/>
        <v>33.173</v>
      </c>
      <c r="D3" s="23">
        <v>33.173</v>
      </c>
      <c r="E3" s="21" t="s">
        <v>173</v>
      </c>
    </row>
    <row r="4">
      <c r="A4" s="1" t="s">
        <v>175</v>
      </c>
      <c r="B4" s="24">
        <v>250.0</v>
      </c>
      <c r="C4" s="20">
        <f t="shared" si="1"/>
        <v>25</v>
      </c>
      <c r="D4" s="25">
        <v>25.0</v>
      </c>
      <c r="E4" s="21" t="s">
        <v>173</v>
      </c>
      <c r="F4" s="1" t="s">
        <v>176</v>
      </c>
    </row>
    <row r="5">
      <c r="A5" s="1" t="s">
        <v>177</v>
      </c>
      <c r="B5" s="19">
        <v>200.0</v>
      </c>
      <c r="C5" s="20">
        <f t="shared" si="1"/>
        <v>20</v>
      </c>
      <c r="D5" s="20">
        <v>20.0</v>
      </c>
      <c r="E5" s="21" t="s">
        <v>173</v>
      </c>
    </row>
    <row r="6">
      <c r="A6" s="1" t="s">
        <v>178</v>
      </c>
      <c r="B6" s="19">
        <v>63.0</v>
      </c>
      <c r="C6" s="19">
        <v>63.0</v>
      </c>
      <c r="D6" s="19">
        <v>0.0</v>
      </c>
      <c r="E6" s="21" t="s">
        <v>173</v>
      </c>
      <c r="F6" s="1" t="s">
        <v>179</v>
      </c>
    </row>
    <row r="7">
      <c r="A7" s="1" t="s">
        <v>180</v>
      </c>
      <c r="B7" s="19">
        <v>763.0</v>
      </c>
      <c r="C7" s="20">
        <f>sum(B7/10)</f>
        <v>76.3</v>
      </c>
      <c r="D7" s="20">
        <v>76.3</v>
      </c>
      <c r="E7" s="21" t="s">
        <v>181</v>
      </c>
      <c r="F7" s="1" t="s">
        <v>182</v>
      </c>
    </row>
    <row r="8">
      <c r="C8" s="20">
        <f>sum(C2:C7)</f>
        <v>232.473</v>
      </c>
      <c r="D8" s="20">
        <f>SUM(D2:D7)</f>
        <v>169.473</v>
      </c>
    </row>
    <row r="9">
      <c r="B9" s="18" t="s">
        <v>183</v>
      </c>
      <c r="C9" s="19">
        <f t="shared" ref="C9:D9" si="2">sum(C8+150+25+25)</f>
        <v>432.473</v>
      </c>
      <c r="D9" s="20">
        <f t="shared" si="2"/>
        <v>369.473</v>
      </c>
    </row>
  </sheetData>
  <dataValidations>
    <dataValidation type="list" allowBlank="1" showErrorMessage="1" sqref="E2:E7">
      <formula1>"Yes,No,Partial"</formula1>
    </dataValidation>
  </dataValidations>
  <drawing r:id="rId1"/>
</worksheet>
</file>